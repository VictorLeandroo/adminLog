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\OneDrive\Área de Trabalho\Empresa - Fiorino\"/>
    </mc:Choice>
  </mc:AlternateContent>
  <xr:revisionPtr revIDLastSave="0" documentId="13_ncr:1_{0336B66D-15D3-4379-B01F-D74B9C9BF9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definedNames>
    <definedName name="_xlnm.Print_Area" localSheetId="0">'Table 1'!$A$1:$D$99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1" l="1"/>
  <c r="D50" i="1"/>
  <c r="B98" i="1"/>
  <c r="B99" i="1" s="1"/>
  <c r="D95" i="1" s="1"/>
  <c r="D99" i="1" s="1"/>
  <c r="B89" i="1"/>
  <c r="B90" i="1" s="1"/>
  <c r="D86" i="1" s="1"/>
  <c r="D90" i="1" s="1"/>
  <c r="B80" i="1"/>
  <c r="B81" i="1" s="1"/>
  <c r="D77" i="1" s="1"/>
  <c r="D81" i="1" s="1"/>
  <c r="B71" i="1"/>
  <c r="B72" i="1" s="1"/>
  <c r="D68" i="1" s="1"/>
  <c r="B62" i="1"/>
  <c r="B63" i="1" s="1"/>
  <c r="B53" i="1"/>
  <c r="B54" i="1" s="1"/>
  <c r="B44" i="1"/>
  <c r="B45" i="1" s="1"/>
  <c r="D41" i="1" s="1"/>
  <c r="B35" i="1"/>
  <c r="B36" i="1" s="1"/>
  <c r="D32" i="1" s="1"/>
  <c r="B26" i="1"/>
  <c r="B27" i="1" s="1"/>
  <c r="D23" i="1" s="1"/>
  <c r="B17" i="1"/>
  <c r="B18" i="1" s="1"/>
  <c r="D14" i="1" s="1"/>
  <c r="B8" i="1"/>
  <c r="B9" i="1" s="1"/>
  <c r="D5" i="1" s="1"/>
  <c r="D63" i="1" l="1"/>
  <c r="D45" i="1"/>
  <c r="D9" i="1"/>
  <c r="D72" i="1"/>
  <c r="D54" i="1"/>
  <c r="D36" i="1"/>
  <c r="D27" i="1"/>
  <c r="D18" i="1"/>
  <c r="D100" i="1" l="1"/>
</calcChain>
</file>

<file path=xl/sharedStrings.xml><?xml version="1.0" encoding="utf-8"?>
<sst xmlns="http://schemas.openxmlformats.org/spreadsheetml/2006/main" count="156" uniqueCount="16">
  <si>
    <t>DATA</t>
  </si>
  <si>
    <t>DISCRIMINAÇÃO</t>
  </si>
  <si>
    <t>VALOR</t>
  </si>
  <si>
    <t>Saída (até 120km)</t>
  </si>
  <si>
    <t>Quilometragem</t>
  </si>
  <si>
    <t>Kms excedentes ($1,50)</t>
  </si>
  <si>
    <t>Inicial</t>
  </si>
  <si>
    <t>Final</t>
  </si>
  <si>
    <t>Pedágios</t>
  </si>
  <si>
    <t>Zona Azul</t>
  </si>
  <si>
    <t>KM rodados</t>
  </si>
  <si>
    <t>Descarga</t>
  </si>
  <si>
    <t>Km excedente</t>
  </si>
  <si>
    <t>TOTAL</t>
  </si>
  <si>
    <t>TOTAL GERAL</t>
  </si>
  <si>
    <t xml:space="preserve">FRETE 01/12 - 15/12 - JOSÉ ESTEVÃO DE ALMEIDA ELEUTERIO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</si>
</sst>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dd/mm/yyyy;@"/>
  </numFmts>
  <fonts count="5" x14ac:knownFonts="1">
    <font>
      <sz val="10"/>
      <color rgb="FF000000"/>
      <name val="Times New Roman"/>
      <charset val="204"/>
    </font>
    <font>
      <sz val="11.5"/>
      <color rgb="FF000000"/>
      <name val="Arial"/>
      <family val="2"/>
    </font>
    <font>
      <sz val="11.5"/>
      <name val="Arial"/>
      <family val="2"/>
    </font>
    <font>
      <sz val="10"/>
      <color rgb="FF000000"/>
      <name val="Times New Roman"/>
      <charset val="204"/>
    </font>
    <font>
      <b/>
      <sz val="11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62">
    <xf numFmtId="0" fontId="0" fillId="0" borderId="0" xfId="0" applyAlignment="1">
      <alignment horizontal="left" vertical="top"/>
    </xf>
    <xf numFmtId="1" fontId="1" fillId="0" borderId="1" xfId="0" applyNumberFormat="1" applyFont="1" applyBorder="1" applyAlignment="1">
      <alignment horizontal="right" vertical="top" shrinkToFit="1"/>
    </xf>
    <xf numFmtId="1" fontId="1" fillId="0" borderId="0" xfId="0" applyNumberFormat="1" applyFont="1" applyAlignment="1">
      <alignment horizontal="right" vertical="top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wrapText="1"/>
    </xf>
    <xf numFmtId="44" fontId="1" fillId="0" borderId="1" xfId="1" applyFont="1" applyBorder="1" applyAlignment="1">
      <alignment horizontal="left" wrapText="1"/>
    </xf>
    <xf numFmtId="44" fontId="2" fillId="0" borderId="1" xfId="1" applyFont="1" applyBorder="1" applyAlignment="1">
      <alignment horizontal="left" vertical="top" wrapText="1"/>
    </xf>
    <xf numFmtId="44" fontId="2" fillId="0" borderId="1" xfId="1" applyFont="1" applyBorder="1" applyAlignment="1">
      <alignment horizontal="left" vertical="center" wrapText="1"/>
    </xf>
    <xf numFmtId="44" fontId="4" fillId="2" borderId="6" xfId="0" applyNumberFormat="1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44" fontId="2" fillId="4" borderId="1" xfId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top" wrapText="1"/>
    </xf>
    <xf numFmtId="44" fontId="2" fillId="4" borderId="1" xfId="1" applyFont="1" applyFill="1" applyBorder="1" applyAlignment="1">
      <alignment horizontal="left" vertical="top" wrapText="1"/>
    </xf>
    <xf numFmtId="1" fontId="1" fillId="4" borderId="1" xfId="0" applyNumberFormat="1" applyFont="1" applyFill="1" applyBorder="1" applyAlignment="1">
      <alignment horizontal="right" vertical="top" shrinkToFit="1"/>
    </xf>
    <xf numFmtId="44" fontId="1" fillId="4" borderId="1" xfId="1" applyFont="1" applyFill="1" applyBorder="1" applyAlignment="1">
      <alignment horizontal="left" wrapText="1"/>
    </xf>
    <xf numFmtId="1" fontId="1" fillId="4" borderId="0" xfId="0" applyNumberFormat="1" applyFont="1" applyFill="1" applyAlignment="1">
      <alignment horizontal="right" vertical="top"/>
    </xf>
    <xf numFmtId="0" fontId="2" fillId="4" borderId="1" xfId="0" applyFont="1" applyFill="1" applyBorder="1" applyAlignment="1">
      <alignment horizontal="right" vertical="top" wrapText="1"/>
    </xf>
    <xf numFmtId="0" fontId="1" fillId="4" borderId="1" xfId="0" applyFont="1" applyFill="1" applyBorder="1" applyAlignment="1">
      <alignment horizontal="left" wrapText="1"/>
    </xf>
    <xf numFmtId="0" fontId="2" fillId="3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44" fontId="2" fillId="0" borderId="0" xfId="1" applyFont="1" applyBorder="1" applyAlignment="1">
      <alignment horizontal="left" vertical="center" wrapText="1"/>
    </xf>
    <xf numFmtId="44" fontId="2" fillId="0" borderId="0" xfId="1" applyFont="1" applyBorder="1" applyAlignment="1">
      <alignment horizontal="left" vertical="top" wrapText="1"/>
    </xf>
    <xf numFmtId="1" fontId="1" fillId="0" borderId="0" xfId="0" applyNumberFormat="1" applyFont="1" applyAlignment="1">
      <alignment horizontal="right" vertical="top" shrinkToFit="1"/>
    </xf>
    <xf numFmtId="44" fontId="1" fillId="0" borderId="0" xfId="1" applyFont="1" applyBorder="1" applyAlignment="1">
      <alignment horizontal="left" wrapText="1"/>
    </xf>
    <xf numFmtId="0" fontId="2" fillId="0" borderId="0" xfId="0" applyFont="1" applyAlignment="1">
      <alignment horizontal="right" vertical="top" wrapText="1"/>
    </xf>
    <xf numFmtId="49" fontId="1" fillId="0" borderId="2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 indent="4"/>
    </xf>
    <xf numFmtId="0" fontId="2" fillId="0" borderId="4" xfId="0" applyFont="1" applyBorder="1" applyAlignment="1">
      <alignment horizontal="left" vertical="top" wrapText="1" indent="4"/>
    </xf>
    <xf numFmtId="0" fontId="2" fillId="3" borderId="2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center" vertical="center" shrinkToFit="1"/>
    </xf>
    <xf numFmtId="49" fontId="1" fillId="4" borderId="4" xfId="0" applyNumberFormat="1" applyFont="1" applyFill="1" applyBorder="1" applyAlignment="1">
      <alignment horizontal="center" vertical="center" shrinkToFi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top" wrapText="1" indent="4"/>
    </xf>
    <xf numFmtId="0" fontId="2" fillId="3" borderId="4" xfId="0" applyFont="1" applyFill="1" applyBorder="1" applyAlignment="1">
      <alignment horizontal="left" vertical="top" wrapText="1" indent="4"/>
    </xf>
    <xf numFmtId="49" fontId="2" fillId="4" borderId="2" xfId="0" applyNumberFormat="1" applyFont="1" applyFill="1" applyBorder="1" applyAlignment="1">
      <alignment horizontal="center" vertical="center" wrapText="1"/>
    </xf>
    <xf numFmtId="49" fontId="2" fillId="4" borderId="4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top" wrapText="1" indent="4"/>
    </xf>
    <xf numFmtId="0" fontId="2" fillId="4" borderId="4" xfId="0" applyFont="1" applyFill="1" applyBorder="1" applyAlignment="1">
      <alignment horizontal="left" vertical="top" wrapText="1" indent="4"/>
    </xf>
    <xf numFmtId="0" fontId="2" fillId="2" borderId="7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left" vertical="top" wrapText="1" indent="4"/>
    </xf>
    <xf numFmtId="0" fontId="2" fillId="3" borderId="0" xfId="0" applyFont="1" applyFill="1" applyAlignment="1">
      <alignment horizontal="center" vertical="top" wrapText="1"/>
    </xf>
    <xf numFmtId="164" fontId="1" fillId="0" borderId="0" xfId="0" applyNumberFormat="1" applyFont="1" applyAlignment="1">
      <alignment horizontal="left" vertical="top" indent="6" shrinkToFit="1"/>
    </xf>
    <xf numFmtId="0" fontId="1" fillId="0" borderId="0" xfId="0" applyFont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"/>
  <sheetViews>
    <sheetView tabSelected="1" zoomScale="80" zoomScaleNormal="136" zoomScaleSheetLayoutView="100" workbookViewId="0">
      <selection activeCell="D68" sqref="D68"/>
    </sheetView>
  </sheetViews>
  <sheetFormatPr defaultRowHeight="14.25" x14ac:dyDescent="0.2"/>
  <cols>
    <col min="1" max="2" width="17.5" style="7" customWidth="1"/>
    <col min="3" max="3" width="63.5" style="7" customWidth="1"/>
    <col min="4" max="4" width="18.33203125" style="7" bestFit="1" customWidth="1"/>
    <col min="5" max="16384" width="9.33203125" style="7"/>
  </cols>
  <sheetData>
    <row r="1" spans="1:4" ht="17.45" customHeight="1" x14ac:dyDescent="0.2">
      <c r="A1" s="42" t="s">
        <v>15</v>
      </c>
      <c r="B1" s="43"/>
      <c r="C1" s="43"/>
      <c r="D1" s="44"/>
    </row>
    <row r="2" spans="1:4" ht="17.25" customHeight="1" x14ac:dyDescent="0.2">
      <c r="A2" s="40" t="s">
        <v>0</v>
      </c>
      <c r="B2" s="41"/>
      <c r="C2" s="3" t="s">
        <v>1</v>
      </c>
      <c r="D2" s="3" t="s">
        <v>2</v>
      </c>
    </row>
    <row r="3" spans="1:4" s="14" customFormat="1" ht="50.25" customHeight="1" x14ac:dyDescent="0.2">
      <c r="A3" s="45"/>
      <c r="B3" s="46"/>
      <c r="C3" s="16"/>
      <c r="D3" s="15"/>
    </row>
    <row r="4" spans="1:4" ht="52.5" customHeight="1" x14ac:dyDescent="0.2">
      <c r="A4" s="47"/>
      <c r="B4" s="48"/>
      <c r="C4" s="16" t="s">
        <v>3</v>
      </c>
      <c r="D4" s="17">
        <v>400</v>
      </c>
    </row>
    <row r="5" spans="1:4" ht="16.5" customHeight="1" x14ac:dyDescent="0.2">
      <c r="A5" s="49" t="s">
        <v>4</v>
      </c>
      <c r="B5" s="50"/>
      <c r="C5" s="18" t="s">
        <v>5</v>
      </c>
      <c r="D5" s="19">
        <f>B9*1.5</f>
        <v>0</v>
      </c>
    </row>
    <row r="6" spans="1:4" ht="16.5" customHeight="1" x14ac:dyDescent="0.2">
      <c r="A6" s="3" t="s">
        <v>6</v>
      </c>
      <c r="B6" s="3" t="s">
        <v>7</v>
      </c>
      <c r="C6" s="18" t="s">
        <v>8</v>
      </c>
      <c r="D6" s="19"/>
    </row>
    <row r="7" spans="1:4" ht="16.5" customHeight="1" x14ac:dyDescent="0.2">
      <c r="A7" s="20"/>
      <c r="B7" s="20"/>
      <c r="C7" s="18" t="s">
        <v>9</v>
      </c>
      <c r="D7" s="21"/>
    </row>
    <row r="8" spans="1:4" ht="17.45" customHeight="1" x14ac:dyDescent="0.2">
      <c r="A8" s="3" t="s">
        <v>10</v>
      </c>
      <c r="B8" s="22">
        <f>B7-A7</f>
        <v>0</v>
      </c>
      <c r="C8" s="18" t="s">
        <v>11</v>
      </c>
      <c r="D8" s="21"/>
    </row>
    <row r="9" spans="1:4" ht="17.25" customHeight="1" x14ac:dyDescent="0.2">
      <c r="A9" s="3" t="s">
        <v>12</v>
      </c>
      <c r="B9" s="20" t="str">
        <f>IF(B8&gt;120, B8-120, "0")</f>
        <v>0</v>
      </c>
      <c r="C9" s="23" t="s">
        <v>13</v>
      </c>
      <c r="D9" s="19" t="str">
        <f>IF(A3&lt;&gt;"", SUM(D4:D8), "")</f>
        <v/>
      </c>
    </row>
    <row r="10" spans="1:4" ht="10.5" customHeight="1" x14ac:dyDescent="0.2">
      <c r="A10" s="24"/>
      <c r="B10" s="24"/>
      <c r="C10" s="24"/>
      <c r="D10" s="24"/>
    </row>
    <row r="11" spans="1:4" ht="17.25" customHeight="1" x14ac:dyDescent="0.2">
      <c r="A11" s="40" t="s">
        <v>0</v>
      </c>
      <c r="B11" s="41"/>
      <c r="C11" s="3" t="s">
        <v>1</v>
      </c>
      <c r="D11" s="3" t="s">
        <v>2</v>
      </c>
    </row>
    <row r="12" spans="1:4" s="14" customFormat="1" ht="50.25" customHeight="1" x14ac:dyDescent="0.2">
      <c r="A12" s="34"/>
      <c r="B12" s="35"/>
      <c r="C12" s="5"/>
      <c r="D12" s="13"/>
    </row>
    <row r="13" spans="1:4" ht="52.5" customHeight="1" x14ac:dyDescent="0.2">
      <c r="A13" s="36"/>
      <c r="B13" s="37"/>
      <c r="C13" s="5" t="s">
        <v>3</v>
      </c>
      <c r="D13" s="11">
        <v>400</v>
      </c>
    </row>
    <row r="14" spans="1:4" ht="16.5" customHeight="1" x14ac:dyDescent="0.2">
      <c r="A14" s="38" t="s">
        <v>4</v>
      </c>
      <c r="B14" s="39"/>
      <c r="C14" s="4" t="s">
        <v>5</v>
      </c>
      <c r="D14" s="19">
        <f>B18*1.5</f>
        <v>0</v>
      </c>
    </row>
    <row r="15" spans="1:4" ht="16.5" customHeight="1" x14ac:dyDescent="0.2">
      <c r="A15" s="4" t="s">
        <v>6</v>
      </c>
      <c r="B15" s="4" t="s">
        <v>7</v>
      </c>
      <c r="C15" s="4" t="s">
        <v>8</v>
      </c>
      <c r="D15" s="10"/>
    </row>
    <row r="16" spans="1:4" ht="16.5" customHeight="1" x14ac:dyDescent="0.2">
      <c r="A16" s="1"/>
      <c r="B16" s="1"/>
      <c r="C16" s="4" t="s">
        <v>9</v>
      </c>
      <c r="D16" s="9"/>
    </row>
    <row r="17" spans="1:4" ht="16.7" customHeight="1" x14ac:dyDescent="0.2">
      <c r="A17" s="4" t="s">
        <v>10</v>
      </c>
      <c r="B17" s="2">
        <f>B16-A16</f>
        <v>0</v>
      </c>
      <c r="C17" s="4" t="s">
        <v>11</v>
      </c>
      <c r="D17" s="9"/>
    </row>
    <row r="18" spans="1:4" ht="17.25" customHeight="1" x14ac:dyDescent="0.2">
      <c r="A18" s="4" t="s">
        <v>12</v>
      </c>
      <c r="B18" s="1" t="str">
        <f>IF(B17&gt;120, B17-120, "0")</f>
        <v>0</v>
      </c>
      <c r="C18" s="6" t="s">
        <v>13</v>
      </c>
      <c r="D18" s="10" t="str">
        <f>IF(A12&lt;&gt;"", SUM(D13:D17), "")</f>
        <v/>
      </c>
    </row>
    <row r="19" spans="1:4" ht="10.5" customHeight="1" x14ac:dyDescent="0.2">
      <c r="A19" s="8"/>
      <c r="B19" s="8"/>
      <c r="C19" s="8"/>
      <c r="D19" s="8"/>
    </row>
    <row r="20" spans="1:4" ht="17.25" customHeight="1" x14ac:dyDescent="0.2">
      <c r="A20" s="40" t="s">
        <v>0</v>
      </c>
      <c r="B20" s="41"/>
      <c r="C20" s="3" t="s">
        <v>1</v>
      </c>
      <c r="D20" s="3" t="s">
        <v>2</v>
      </c>
    </row>
    <row r="21" spans="1:4" s="14" customFormat="1" ht="50.25" customHeight="1" x14ac:dyDescent="0.2">
      <c r="A21" s="34"/>
      <c r="B21" s="35"/>
      <c r="C21" s="5"/>
      <c r="D21" s="13"/>
    </row>
    <row r="22" spans="1:4" ht="52.5" customHeight="1" x14ac:dyDescent="0.2">
      <c r="A22" s="36"/>
      <c r="B22" s="37"/>
      <c r="C22" s="5" t="s">
        <v>3</v>
      </c>
      <c r="D22" s="11">
        <v>400</v>
      </c>
    </row>
    <row r="23" spans="1:4" ht="16.5" customHeight="1" x14ac:dyDescent="0.2">
      <c r="A23" s="38" t="s">
        <v>4</v>
      </c>
      <c r="B23" s="39"/>
      <c r="C23" s="4" t="s">
        <v>5</v>
      </c>
      <c r="D23" s="19">
        <f>B27*1.5</f>
        <v>0</v>
      </c>
    </row>
    <row r="24" spans="1:4" ht="16.5" customHeight="1" x14ac:dyDescent="0.2">
      <c r="A24" s="4" t="s">
        <v>6</v>
      </c>
      <c r="B24" s="4" t="s">
        <v>7</v>
      </c>
      <c r="C24" s="4" t="s">
        <v>8</v>
      </c>
      <c r="D24" s="10"/>
    </row>
    <row r="25" spans="1:4" ht="16.5" customHeight="1" x14ac:dyDescent="0.2">
      <c r="A25" s="1"/>
      <c r="B25" s="1"/>
      <c r="C25" s="4" t="s">
        <v>9</v>
      </c>
      <c r="D25" s="9"/>
    </row>
    <row r="26" spans="1:4" ht="16.7" customHeight="1" x14ac:dyDescent="0.2">
      <c r="A26" s="4" t="s">
        <v>10</v>
      </c>
      <c r="B26" s="2">
        <f>B25-A25</f>
        <v>0</v>
      </c>
      <c r="C26" s="4" t="s">
        <v>11</v>
      </c>
      <c r="D26" s="9"/>
    </row>
    <row r="27" spans="1:4" ht="17.850000000000001" customHeight="1" x14ac:dyDescent="0.2">
      <c r="A27" s="4" t="s">
        <v>12</v>
      </c>
      <c r="B27" s="1" t="str">
        <f>IF(B26&gt;120, B26-120, "0")</f>
        <v>0</v>
      </c>
      <c r="C27" s="6" t="s">
        <v>13</v>
      </c>
      <c r="D27" s="10" t="str">
        <f>IF(A21&lt;&gt;"", SUM(D21:D26), "")</f>
        <v/>
      </c>
    </row>
    <row r="28" spans="1:4" ht="9.9499999999999993" customHeight="1" x14ac:dyDescent="0.2">
      <c r="A28" s="8"/>
      <c r="B28" s="8"/>
      <c r="C28" s="8"/>
      <c r="D28" s="8"/>
    </row>
    <row r="29" spans="1:4" ht="17.850000000000001" customHeight="1" x14ac:dyDescent="0.2">
      <c r="A29" s="40" t="s">
        <v>0</v>
      </c>
      <c r="B29" s="41"/>
      <c r="C29" s="3" t="s">
        <v>1</v>
      </c>
      <c r="D29" s="3" t="s">
        <v>2</v>
      </c>
    </row>
    <row r="30" spans="1:4" s="14" customFormat="1" ht="50.25" customHeight="1" x14ac:dyDescent="0.2">
      <c r="A30" s="34"/>
      <c r="B30" s="35"/>
      <c r="C30" s="5"/>
      <c r="D30" s="13"/>
    </row>
    <row r="31" spans="1:4" ht="52.5" customHeight="1" x14ac:dyDescent="0.2">
      <c r="A31" s="36"/>
      <c r="B31" s="37"/>
      <c r="C31" s="5" t="s">
        <v>3</v>
      </c>
      <c r="D31" s="11">
        <v>400</v>
      </c>
    </row>
    <row r="32" spans="1:4" ht="16.5" customHeight="1" x14ac:dyDescent="0.2">
      <c r="A32" s="38" t="s">
        <v>4</v>
      </c>
      <c r="B32" s="39"/>
      <c r="C32" s="4" t="s">
        <v>5</v>
      </c>
      <c r="D32" s="10">
        <f>B36*1.5</f>
        <v>0</v>
      </c>
    </row>
    <row r="33" spans="1:4" ht="16.5" customHeight="1" x14ac:dyDescent="0.2">
      <c r="A33" s="4" t="s">
        <v>6</v>
      </c>
      <c r="B33" s="4" t="s">
        <v>7</v>
      </c>
      <c r="C33" s="4" t="s">
        <v>8</v>
      </c>
      <c r="D33" s="10"/>
    </row>
    <row r="34" spans="1:4" ht="16.5" customHeight="1" x14ac:dyDescent="0.2">
      <c r="A34" s="1"/>
      <c r="B34" s="1"/>
      <c r="C34" s="4" t="s">
        <v>9</v>
      </c>
      <c r="D34" s="9"/>
    </row>
    <row r="35" spans="1:4" ht="17.45" customHeight="1" x14ac:dyDescent="0.2">
      <c r="A35" s="4" t="s">
        <v>10</v>
      </c>
      <c r="B35" s="2">
        <f>B34-A34</f>
        <v>0</v>
      </c>
      <c r="C35" s="4" t="s">
        <v>11</v>
      </c>
      <c r="D35" s="9"/>
    </row>
    <row r="36" spans="1:4" ht="17.25" customHeight="1" x14ac:dyDescent="0.2">
      <c r="A36" s="4" t="s">
        <v>12</v>
      </c>
      <c r="B36" s="1" t="str">
        <f>IF(B35&gt;120, B35-120, "0")</f>
        <v>0</v>
      </c>
      <c r="C36" s="6" t="s">
        <v>13</v>
      </c>
      <c r="D36" s="10" t="str">
        <f>IF(A30&lt;&gt;"", SUM(D31:D35), "")</f>
        <v/>
      </c>
    </row>
    <row r="37" spans="1:4" ht="10.5" customHeight="1" x14ac:dyDescent="0.2">
      <c r="A37" s="8"/>
      <c r="B37" s="8"/>
      <c r="C37" s="8"/>
      <c r="D37" s="8"/>
    </row>
    <row r="38" spans="1:4" ht="17.25" customHeight="1" x14ac:dyDescent="0.2">
      <c r="A38" s="40" t="s">
        <v>0</v>
      </c>
      <c r="B38" s="41"/>
      <c r="C38" s="3" t="s">
        <v>1</v>
      </c>
      <c r="D38" s="3" t="s">
        <v>2</v>
      </c>
    </row>
    <row r="39" spans="1:4" s="14" customFormat="1" ht="50.25" customHeight="1" x14ac:dyDescent="0.2">
      <c r="A39" s="34"/>
      <c r="B39" s="35"/>
      <c r="C39" s="5"/>
      <c r="D39" s="13"/>
    </row>
    <row r="40" spans="1:4" ht="52.5" customHeight="1" x14ac:dyDescent="0.2">
      <c r="A40" s="36"/>
      <c r="B40" s="37"/>
      <c r="C40" s="5" t="s">
        <v>3</v>
      </c>
      <c r="D40" s="11">
        <v>400</v>
      </c>
    </row>
    <row r="41" spans="1:4" ht="16.5" customHeight="1" x14ac:dyDescent="0.2">
      <c r="A41" s="38" t="s">
        <v>4</v>
      </c>
      <c r="B41" s="39"/>
      <c r="C41" s="4" t="s">
        <v>5</v>
      </c>
      <c r="D41" s="19">
        <f>B45*1.5</f>
        <v>0</v>
      </c>
    </row>
    <row r="42" spans="1:4" ht="16.5" customHeight="1" x14ac:dyDescent="0.2">
      <c r="A42" s="4" t="s">
        <v>6</v>
      </c>
      <c r="B42" s="4" t="s">
        <v>7</v>
      </c>
      <c r="C42" s="4" t="s">
        <v>8</v>
      </c>
      <c r="D42" s="10"/>
    </row>
    <row r="43" spans="1:4" ht="16.5" customHeight="1" x14ac:dyDescent="0.2">
      <c r="A43" s="1"/>
      <c r="B43" s="1"/>
      <c r="C43" s="4" t="s">
        <v>9</v>
      </c>
      <c r="D43" s="9"/>
    </row>
    <row r="44" spans="1:4" ht="17.45" customHeight="1" x14ac:dyDescent="0.2">
      <c r="A44" s="4" t="s">
        <v>10</v>
      </c>
      <c r="B44" s="2">
        <f>B43-A43</f>
        <v>0</v>
      </c>
      <c r="C44" s="4" t="s">
        <v>11</v>
      </c>
      <c r="D44" s="9"/>
    </row>
    <row r="45" spans="1:4" ht="17.25" customHeight="1" x14ac:dyDescent="0.2">
      <c r="A45" s="4" t="s">
        <v>12</v>
      </c>
      <c r="B45" s="1" t="str">
        <f>IF(B44&gt;120, B44-120, "0")</f>
        <v>0</v>
      </c>
      <c r="C45" s="6" t="s">
        <v>13</v>
      </c>
      <c r="D45" s="10" t="str">
        <f>IF(A39&lt;&gt;"", SUM(D40:D44), "")</f>
        <v/>
      </c>
    </row>
    <row r="46" spans="1:4" ht="23.25" customHeight="1" x14ac:dyDescent="0.2">
      <c r="A46" s="8"/>
      <c r="B46" s="8"/>
      <c r="C46" s="8"/>
      <c r="D46" s="8"/>
    </row>
    <row r="47" spans="1:4" ht="17.25" customHeight="1" x14ac:dyDescent="0.2">
      <c r="A47" s="40" t="s">
        <v>0</v>
      </c>
      <c r="B47" s="41"/>
      <c r="C47" s="3" t="s">
        <v>1</v>
      </c>
      <c r="D47" s="3" t="s">
        <v>2</v>
      </c>
    </row>
    <row r="48" spans="1:4" s="14" customFormat="1" ht="50.25" customHeight="1" x14ac:dyDescent="0.2">
      <c r="A48" s="51"/>
      <c r="B48" s="52"/>
      <c r="C48" s="16"/>
      <c r="D48" s="15"/>
    </row>
    <row r="49" spans="1:4" ht="52.5" customHeight="1" x14ac:dyDescent="0.2">
      <c r="A49" s="47"/>
      <c r="B49" s="48"/>
      <c r="C49" s="16" t="s">
        <v>3</v>
      </c>
      <c r="D49" s="17">
        <v>400</v>
      </c>
    </row>
    <row r="50" spans="1:4" ht="16.5" customHeight="1" x14ac:dyDescent="0.2">
      <c r="A50" s="53" t="s">
        <v>4</v>
      </c>
      <c r="B50" s="54"/>
      <c r="C50" s="18" t="s">
        <v>5</v>
      </c>
      <c r="D50" s="10">
        <f>B54*1.5</f>
        <v>0</v>
      </c>
    </row>
    <row r="51" spans="1:4" ht="16.5" customHeight="1" x14ac:dyDescent="0.2">
      <c r="A51" s="18" t="s">
        <v>6</v>
      </c>
      <c r="B51" s="18" t="s">
        <v>7</v>
      </c>
      <c r="C51" s="18" t="s">
        <v>8</v>
      </c>
      <c r="D51" s="19"/>
    </row>
    <row r="52" spans="1:4" ht="16.5" customHeight="1" x14ac:dyDescent="0.2">
      <c r="A52" s="20"/>
      <c r="B52" s="20"/>
      <c r="C52" s="18" t="s">
        <v>9</v>
      </c>
      <c r="D52" s="21"/>
    </row>
    <row r="53" spans="1:4" ht="16.7" customHeight="1" x14ac:dyDescent="0.2">
      <c r="A53" s="18" t="s">
        <v>10</v>
      </c>
      <c r="B53" s="22">
        <f>B52-A52</f>
        <v>0</v>
      </c>
      <c r="C53" s="18" t="s">
        <v>11</v>
      </c>
      <c r="D53" s="21"/>
    </row>
    <row r="54" spans="1:4" ht="17.25" customHeight="1" x14ac:dyDescent="0.2">
      <c r="A54" s="18" t="s">
        <v>12</v>
      </c>
      <c r="B54" s="20" t="str">
        <f>IF(B53&gt;120, B53-120, "0")</f>
        <v>0</v>
      </c>
      <c r="C54" s="23" t="s">
        <v>13</v>
      </c>
      <c r="D54" s="19" t="str">
        <f>IF(A48&lt;&gt;"", SUM(D49:D53), "")</f>
        <v/>
      </c>
    </row>
    <row r="55" spans="1:4" ht="10.5" customHeight="1" x14ac:dyDescent="0.2">
      <c r="A55" s="24"/>
      <c r="B55" s="24"/>
      <c r="C55" s="24"/>
      <c r="D55" s="24"/>
    </row>
    <row r="56" spans="1:4" ht="17.25" customHeight="1" x14ac:dyDescent="0.2">
      <c r="A56" s="40" t="s">
        <v>0</v>
      </c>
      <c r="B56" s="41"/>
      <c r="C56" s="3" t="s">
        <v>1</v>
      </c>
      <c r="D56" s="3" t="s">
        <v>2</v>
      </c>
    </row>
    <row r="57" spans="1:4" s="14" customFormat="1" ht="50.25" customHeight="1" x14ac:dyDescent="0.2">
      <c r="A57" s="51"/>
      <c r="B57" s="52"/>
      <c r="C57" s="16"/>
      <c r="D57" s="15"/>
    </row>
    <row r="58" spans="1:4" ht="52.5" customHeight="1" x14ac:dyDescent="0.2">
      <c r="A58" s="47"/>
      <c r="B58" s="48"/>
      <c r="C58" s="16" t="s">
        <v>3</v>
      </c>
      <c r="D58" s="17">
        <v>400</v>
      </c>
    </row>
    <row r="59" spans="1:4" ht="16.5" customHeight="1" x14ac:dyDescent="0.2">
      <c r="A59" s="53" t="s">
        <v>4</v>
      </c>
      <c r="B59" s="54"/>
      <c r="C59" s="18" t="s">
        <v>5</v>
      </c>
      <c r="D59" s="10">
        <f>B63*1.5</f>
        <v>0</v>
      </c>
    </row>
    <row r="60" spans="1:4" ht="16.5" customHeight="1" x14ac:dyDescent="0.2">
      <c r="A60" s="18" t="s">
        <v>6</v>
      </c>
      <c r="B60" s="18" t="s">
        <v>7</v>
      </c>
      <c r="C60" s="18" t="s">
        <v>8</v>
      </c>
      <c r="D60" s="19"/>
    </row>
    <row r="61" spans="1:4" ht="16.5" customHeight="1" x14ac:dyDescent="0.2">
      <c r="A61" s="20"/>
      <c r="B61" s="20"/>
      <c r="C61" s="18" t="s">
        <v>9</v>
      </c>
      <c r="D61" s="21"/>
    </row>
    <row r="62" spans="1:4" ht="16.7" customHeight="1" x14ac:dyDescent="0.2">
      <c r="A62" s="18" t="s">
        <v>10</v>
      </c>
      <c r="B62" s="22">
        <f>B61-A61</f>
        <v>0</v>
      </c>
      <c r="C62" s="18" t="s">
        <v>11</v>
      </c>
      <c r="D62" s="21"/>
    </row>
    <row r="63" spans="1:4" ht="17.850000000000001" customHeight="1" x14ac:dyDescent="0.2">
      <c r="A63" s="18" t="s">
        <v>12</v>
      </c>
      <c r="B63" s="20" t="str">
        <f>IF(B62&gt;120, B62-120, "0")</f>
        <v>0</v>
      </c>
      <c r="C63" s="23" t="s">
        <v>13</v>
      </c>
      <c r="D63" s="19" t="str">
        <f>IF(A57&lt;&gt;"", SUM(D58:D62), "")</f>
        <v/>
      </c>
    </row>
    <row r="64" spans="1:4" ht="9.9499999999999993" customHeight="1" x14ac:dyDescent="0.2">
      <c r="A64" s="24"/>
      <c r="B64" s="24"/>
      <c r="C64" s="24"/>
      <c r="D64" s="24"/>
    </row>
    <row r="65" spans="1:4" ht="17.850000000000001" customHeight="1" x14ac:dyDescent="0.2">
      <c r="A65" s="40" t="s">
        <v>0</v>
      </c>
      <c r="B65" s="41"/>
      <c r="C65" s="3" t="s">
        <v>1</v>
      </c>
      <c r="D65" s="3" t="s">
        <v>2</v>
      </c>
    </row>
    <row r="66" spans="1:4" s="14" customFormat="1" ht="50.25" customHeight="1" x14ac:dyDescent="0.2">
      <c r="A66" s="51"/>
      <c r="B66" s="52"/>
      <c r="C66" s="16"/>
      <c r="D66" s="15"/>
    </row>
    <row r="67" spans="1:4" ht="44.25" customHeight="1" x14ac:dyDescent="0.2">
      <c r="A67" s="47"/>
      <c r="B67" s="48"/>
      <c r="C67" s="16" t="s">
        <v>3</v>
      </c>
      <c r="D67" s="17">
        <v>400</v>
      </c>
    </row>
    <row r="68" spans="1:4" ht="16.5" customHeight="1" x14ac:dyDescent="0.2">
      <c r="A68" s="53" t="s">
        <v>4</v>
      </c>
      <c r="B68" s="54"/>
      <c r="C68" s="18" t="s">
        <v>5</v>
      </c>
      <c r="D68" s="19">
        <f>B72*1.5</f>
        <v>0</v>
      </c>
    </row>
    <row r="69" spans="1:4" ht="16.5" customHeight="1" x14ac:dyDescent="0.2">
      <c r="A69" s="18" t="s">
        <v>6</v>
      </c>
      <c r="B69" s="18" t="s">
        <v>7</v>
      </c>
      <c r="C69" s="18" t="s">
        <v>8</v>
      </c>
      <c r="D69" s="19"/>
    </row>
    <row r="70" spans="1:4" ht="16.5" customHeight="1" x14ac:dyDescent="0.2">
      <c r="A70" s="20"/>
      <c r="B70" s="20"/>
      <c r="C70" s="18" t="s">
        <v>9</v>
      </c>
      <c r="D70" s="21"/>
    </row>
    <row r="71" spans="1:4" ht="17.45" customHeight="1" x14ac:dyDescent="0.2">
      <c r="A71" s="18" t="s">
        <v>10</v>
      </c>
      <c r="B71" s="22">
        <f>B70-A70</f>
        <v>0</v>
      </c>
      <c r="C71" s="18" t="s">
        <v>11</v>
      </c>
      <c r="D71" s="21"/>
    </row>
    <row r="72" spans="1:4" ht="17.25" customHeight="1" x14ac:dyDescent="0.2">
      <c r="A72" s="18" t="s">
        <v>12</v>
      </c>
      <c r="B72" s="20" t="str">
        <f>IF(B71&gt;120, B71-120, "0")</f>
        <v>0</v>
      </c>
      <c r="C72" s="23" t="s">
        <v>13</v>
      </c>
      <c r="D72" s="19" t="str">
        <f>IF(A66&lt;&gt;"", SUM(D67:D71), "")</f>
        <v/>
      </c>
    </row>
    <row r="73" spans="1:4" ht="17.25" customHeight="1" x14ac:dyDescent="0.2">
      <c r="A73" s="24"/>
      <c r="B73" s="24"/>
      <c r="C73" s="24"/>
      <c r="D73" s="24"/>
    </row>
    <row r="74" spans="1:4" ht="16.5" customHeight="1" x14ac:dyDescent="0.2">
      <c r="A74" s="40" t="s">
        <v>0</v>
      </c>
      <c r="B74" s="41"/>
      <c r="C74" s="3" t="s">
        <v>1</v>
      </c>
      <c r="D74" s="3" t="s">
        <v>2</v>
      </c>
    </row>
    <row r="75" spans="1:4" s="14" customFormat="1" ht="50.25" customHeight="1" x14ac:dyDescent="0.2">
      <c r="A75" s="51"/>
      <c r="B75" s="52"/>
      <c r="C75" s="16"/>
      <c r="D75" s="15"/>
    </row>
    <row r="76" spans="1:4" ht="52.5" customHeight="1" x14ac:dyDescent="0.2">
      <c r="A76" s="47"/>
      <c r="B76" s="48"/>
      <c r="C76" s="16" t="s">
        <v>3</v>
      </c>
      <c r="D76" s="17">
        <v>400</v>
      </c>
    </row>
    <row r="77" spans="1:4" ht="14.25" customHeight="1" x14ac:dyDescent="0.2">
      <c r="A77" s="53" t="s">
        <v>4</v>
      </c>
      <c r="B77" s="54"/>
      <c r="C77" s="18" t="s">
        <v>5</v>
      </c>
      <c r="D77" s="19">
        <f>B81*1.5</f>
        <v>0</v>
      </c>
    </row>
    <row r="78" spans="1:4" x14ac:dyDescent="0.2">
      <c r="A78" s="18" t="s">
        <v>6</v>
      </c>
      <c r="B78" s="18" t="s">
        <v>7</v>
      </c>
      <c r="C78" s="18" t="s">
        <v>8</v>
      </c>
      <c r="D78" s="19"/>
    </row>
    <row r="79" spans="1:4" x14ac:dyDescent="0.2">
      <c r="A79" s="20"/>
      <c r="B79" s="20"/>
      <c r="C79" s="18" t="s">
        <v>9</v>
      </c>
      <c r="D79" s="21"/>
    </row>
    <row r="80" spans="1:4" x14ac:dyDescent="0.2">
      <c r="A80" s="18" t="s">
        <v>10</v>
      </c>
      <c r="B80" s="22">
        <f>B79-A79</f>
        <v>0</v>
      </c>
      <c r="C80" s="18" t="s">
        <v>11</v>
      </c>
      <c r="D80" s="21"/>
    </row>
    <row r="81" spans="1:4" x14ac:dyDescent="0.2">
      <c r="A81" s="18" t="s">
        <v>12</v>
      </c>
      <c r="B81" s="20" t="str">
        <f>IF(B80&gt;120, B80-120, "0")</f>
        <v>0</v>
      </c>
      <c r="C81" s="23" t="s">
        <v>13</v>
      </c>
      <c r="D81" s="19" t="str">
        <f>IF(A75&lt;&gt;"", SUM(D76:D80), "")</f>
        <v/>
      </c>
    </row>
    <row r="82" spans="1:4" x14ac:dyDescent="0.2">
      <c r="A82" s="24"/>
      <c r="B82" s="24"/>
      <c r="C82" s="24"/>
      <c r="D82" s="24"/>
    </row>
    <row r="83" spans="1:4" x14ac:dyDescent="0.2">
      <c r="A83" s="40" t="s">
        <v>0</v>
      </c>
      <c r="B83" s="41"/>
      <c r="C83" s="3" t="s">
        <v>1</v>
      </c>
      <c r="D83" s="3" t="s">
        <v>2</v>
      </c>
    </row>
    <row r="84" spans="1:4" s="14" customFormat="1" ht="50.25" customHeight="1" x14ac:dyDescent="0.2">
      <c r="A84" s="51"/>
      <c r="B84" s="52"/>
      <c r="C84" s="16"/>
      <c r="D84" s="15"/>
    </row>
    <row r="85" spans="1:4" ht="52.5" customHeight="1" x14ac:dyDescent="0.2">
      <c r="A85" s="47"/>
      <c r="B85" s="48"/>
      <c r="C85" s="16" t="s">
        <v>3</v>
      </c>
      <c r="D85" s="17">
        <v>400</v>
      </c>
    </row>
    <row r="86" spans="1:4" x14ac:dyDescent="0.2">
      <c r="A86" s="53" t="s">
        <v>4</v>
      </c>
      <c r="B86" s="54"/>
      <c r="C86" s="18" t="s">
        <v>5</v>
      </c>
      <c r="D86" s="19">
        <f>B90*1.5</f>
        <v>0</v>
      </c>
    </row>
    <row r="87" spans="1:4" x14ac:dyDescent="0.2">
      <c r="A87" s="18" t="s">
        <v>6</v>
      </c>
      <c r="B87" s="18" t="s">
        <v>7</v>
      </c>
      <c r="C87" s="18" t="s">
        <v>8</v>
      </c>
      <c r="D87" s="19"/>
    </row>
    <row r="88" spans="1:4" x14ac:dyDescent="0.2">
      <c r="A88" s="20"/>
      <c r="B88" s="20"/>
      <c r="C88" s="18" t="s">
        <v>9</v>
      </c>
      <c r="D88" s="21"/>
    </row>
    <row r="89" spans="1:4" x14ac:dyDescent="0.2">
      <c r="A89" s="18" t="s">
        <v>10</v>
      </c>
      <c r="B89" s="22">
        <f>B88-A88</f>
        <v>0</v>
      </c>
      <c r="C89" s="18" t="s">
        <v>11</v>
      </c>
      <c r="D89" s="21"/>
    </row>
    <row r="90" spans="1:4" ht="13.5" customHeight="1" x14ac:dyDescent="0.2">
      <c r="A90" s="18" t="s">
        <v>12</v>
      </c>
      <c r="B90" s="20" t="str">
        <f>IF(B89&gt;120, B89-120, "0")</f>
        <v>0</v>
      </c>
      <c r="C90" s="23" t="s">
        <v>13</v>
      </c>
      <c r="D90" s="19" t="str">
        <f>IF(A84&lt;&gt;"", SUM(D85:D89), "")</f>
        <v/>
      </c>
    </row>
    <row r="91" spans="1:4" ht="5.25" hidden="1" customHeight="1" x14ac:dyDescent="0.2">
      <c r="A91" s="8"/>
      <c r="B91" s="8"/>
      <c r="C91" s="8"/>
      <c r="D91" s="8"/>
    </row>
    <row r="92" spans="1:4" ht="15.75" customHeight="1" x14ac:dyDescent="0.2">
      <c r="A92" s="40" t="s">
        <v>0</v>
      </c>
      <c r="B92" s="41"/>
      <c r="C92" s="3" t="s">
        <v>1</v>
      </c>
      <c r="D92" s="3" t="s">
        <v>2</v>
      </c>
    </row>
    <row r="93" spans="1:4" s="14" customFormat="1" ht="50.25" customHeight="1" x14ac:dyDescent="0.2">
      <c r="A93" s="51"/>
      <c r="B93" s="52"/>
      <c r="C93" s="16"/>
      <c r="D93" s="15"/>
    </row>
    <row r="94" spans="1:4" ht="52.5" customHeight="1" x14ac:dyDescent="0.2">
      <c r="A94" s="47"/>
      <c r="B94" s="48"/>
      <c r="C94" s="16" t="s">
        <v>3</v>
      </c>
      <c r="D94" s="17">
        <v>400</v>
      </c>
    </row>
    <row r="95" spans="1:4" x14ac:dyDescent="0.2">
      <c r="A95" s="53" t="s">
        <v>4</v>
      </c>
      <c r="B95" s="54"/>
      <c r="C95" s="18" t="s">
        <v>5</v>
      </c>
      <c r="D95" s="19">
        <f>B99*1.5</f>
        <v>0</v>
      </c>
    </row>
    <row r="96" spans="1:4" x14ac:dyDescent="0.2">
      <c r="A96" s="18" t="s">
        <v>6</v>
      </c>
      <c r="B96" s="18" t="s">
        <v>7</v>
      </c>
      <c r="C96" s="18" t="s">
        <v>8</v>
      </c>
      <c r="D96" s="19"/>
    </row>
    <row r="97" spans="1:4" x14ac:dyDescent="0.2">
      <c r="A97" s="20"/>
      <c r="B97" s="20"/>
      <c r="C97" s="18" t="s">
        <v>9</v>
      </c>
      <c r="D97" s="21"/>
    </row>
    <row r="98" spans="1:4" x14ac:dyDescent="0.2">
      <c r="A98" s="18" t="s">
        <v>10</v>
      </c>
      <c r="B98" s="22">
        <f>B97-A97</f>
        <v>0</v>
      </c>
      <c r="C98" s="18" t="s">
        <v>11</v>
      </c>
      <c r="D98" s="21"/>
    </row>
    <row r="99" spans="1:4" x14ac:dyDescent="0.2">
      <c r="A99" s="18" t="s">
        <v>12</v>
      </c>
      <c r="B99" s="20" t="str">
        <f>IF(B98&gt;120, B98-120, "0")</f>
        <v>0</v>
      </c>
      <c r="C99" s="23" t="s">
        <v>13</v>
      </c>
      <c r="D99" s="19" t="str">
        <f>IF(A93&lt;&gt;"", SUM(D94:D98), "")</f>
        <v/>
      </c>
    </row>
    <row r="100" spans="1:4" ht="38.25" customHeight="1" x14ac:dyDescent="0.2">
      <c r="A100" s="55" t="s">
        <v>14</v>
      </c>
      <c r="B100" s="56"/>
      <c r="C100" s="57"/>
      <c r="D100" s="12">
        <f>SUM(D9,D18,D27,D36,D45,D54,D63,D72,D81,D90,D99)</f>
        <v>0</v>
      </c>
    </row>
    <row r="101" spans="1:4" x14ac:dyDescent="0.2">
      <c r="A101" s="59"/>
      <c r="B101" s="59"/>
      <c r="C101" s="25"/>
      <c r="D101" s="25"/>
    </row>
    <row r="102" spans="1:4" x14ac:dyDescent="0.2">
      <c r="A102" s="60"/>
      <c r="B102" s="60"/>
      <c r="C102" s="26"/>
      <c r="D102" s="27"/>
    </row>
    <row r="103" spans="1:4" x14ac:dyDescent="0.2">
      <c r="A103" s="61"/>
      <c r="B103" s="61"/>
      <c r="C103" s="28"/>
      <c r="D103" s="29"/>
    </row>
    <row r="104" spans="1:4" x14ac:dyDescent="0.2">
      <c r="A104" s="58"/>
      <c r="B104" s="58"/>
      <c r="C104" s="26"/>
      <c r="D104" s="30"/>
    </row>
    <row r="105" spans="1:4" x14ac:dyDescent="0.2">
      <c r="A105" s="26"/>
      <c r="B105" s="26"/>
      <c r="C105" s="26"/>
      <c r="D105" s="30"/>
    </row>
    <row r="106" spans="1:4" x14ac:dyDescent="0.2">
      <c r="A106" s="31"/>
      <c r="B106" s="31"/>
      <c r="C106" s="26"/>
      <c r="D106" s="32"/>
    </row>
    <row r="107" spans="1:4" x14ac:dyDescent="0.2">
      <c r="A107" s="26"/>
      <c r="B107" s="2"/>
      <c r="C107" s="26"/>
      <c r="D107" s="32"/>
    </row>
    <row r="108" spans="1:4" x14ac:dyDescent="0.2">
      <c r="A108" s="26"/>
      <c r="B108" s="31"/>
      <c r="C108" s="33"/>
      <c r="D108" s="30"/>
    </row>
  </sheetData>
  <mergeCells count="50">
    <mergeCell ref="A104:B104"/>
    <mergeCell ref="A58:B58"/>
    <mergeCell ref="A94:B94"/>
    <mergeCell ref="A95:B95"/>
    <mergeCell ref="A101:B101"/>
    <mergeCell ref="A102:B102"/>
    <mergeCell ref="A103:B103"/>
    <mergeCell ref="A84:B84"/>
    <mergeCell ref="A85:B85"/>
    <mergeCell ref="A86:B86"/>
    <mergeCell ref="A92:B92"/>
    <mergeCell ref="A93:B93"/>
    <mergeCell ref="A74:B74"/>
    <mergeCell ref="A75:B75"/>
    <mergeCell ref="A76:B76"/>
    <mergeCell ref="A77:B77"/>
    <mergeCell ref="A83:B83"/>
    <mergeCell ref="A67:B67"/>
    <mergeCell ref="A68:B68"/>
    <mergeCell ref="A100:C100"/>
    <mergeCell ref="A56:B56"/>
    <mergeCell ref="A57:B57"/>
    <mergeCell ref="A59:B59"/>
    <mergeCell ref="A65:B65"/>
    <mergeCell ref="A47:B47"/>
    <mergeCell ref="A48:B48"/>
    <mergeCell ref="A49:B49"/>
    <mergeCell ref="A50:B50"/>
    <mergeCell ref="A66:B66"/>
    <mergeCell ref="A31:B31"/>
    <mergeCell ref="A32:B32"/>
    <mergeCell ref="A38:B38"/>
    <mergeCell ref="A39:B39"/>
    <mergeCell ref="A41:B41"/>
    <mergeCell ref="A40:B40"/>
    <mergeCell ref="A1:D1"/>
    <mergeCell ref="A2:B2"/>
    <mergeCell ref="A3:B3"/>
    <mergeCell ref="A4:B4"/>
    <mergeCell ref="A5:B5"/>
    <mergeCell ref="A11:B11"/>
    <mergeCell ref="A12:B12"/>
    <mergeCell ref="A13:B13"/>
    <mergeCell ref="A14:B14"/>
    <mergeCell ref="A20:B20"/>
    <mergeCell ref="A21:B21"/>
    <mergeCell ref="A22:B22"/>
    <mergeCell ref="A23:B23"/>
    <mergeCell ref="A29:B29"/>
    <mergeCell ref="A30:B30"/>
  </mergeCells>
  <pageMargins left="0.7" right="0.7" top="0.75" bottom="0.75" header="0.3" footer="0.3"/>
  <pageSetup paperSize="9" scale="70" orientation="portrait" r:id="rId1"/>
  <colBreaks count="1" manualBreakCount="1">
    <brk id="4" max="4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Table 1</vt:lpstr>
      <vt:lpstr>'Table 1'!Area_de_impressao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Investty Credit</dc:creator>
  <cp:lastModifiedBy>Victor Leandro</cp:lastModifiedBy>
  <cp:lastPrinted>2025-12-16T02:52:11Z</cp:lastPrinted>
  <dcterms:created xsi:type="dcterms:W3CDTF">2025-07-29T12:40:11Z</dcterms:created>
  <dcterms:modified xsi:type="dcterms:W3CDTF">2026-01-02T21:13:08Z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2025-07-29T00:00:00Z</vt:filetime>
  </property>
  <property fmtid="{D5CDD505-2E9C-101B-9397-08002B2CF9AE}" pid="3" name="LastSaved">
    <vt:filetime>2025-07-29T00:00:00Z</vt:filetime>
  </property>
  <property fmtid="{D5CDD505-2E9C-101B-9397-08002B2CF9AE}" pid="4" name="Producer">
    <vt:lpwstr>GPL Ghostscript 9.26</vt:lpwstr>
  </property>
</Properties>
</file>